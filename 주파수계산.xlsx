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ustin08/Documents/Github/PHM_Solutions_Crane_Mock_Test/"/>
    </mc:Choice>
  </mc:AlternateContent>
  <xr:revisionPtr revIDLastSave="0" documentId="13_ncr:1_{D3050F8C-892C-774B-85E6-2075FFF520E7}" xr6:coauthVersionLast="47" xr6:coauthVersionMax="47" xr10:uidLastSave="{00000000-0000-0000-0000-000000000000}"/>
  <bookViews>
    <workbookView xWindow="17280" yWindow="660" windowWidth="17280" windowHeight="20440" xr2:uid="{00000000-000D-0000-FFFF-FFFF00000000}"/>
  </bookViews>
  <sheets>
    <sheet name="구동계_진동_계산기" sheetId="1" r:id="rId1"/>
    <sheet name="Hz별_속도_테이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8" i="1" s="1"/>
  <c r="E15" i="2"/>
  <c r="D15" i="2"/>
  <c r="C15" i="2"/>
  <c r="B15" i="2"/>
  <c r="D14" i="2"/>
  <c r="E14" i="2" s="1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9" i="1" l="1"/>
  <c r="B10" i="1" s="1"/>
  <c r="C8" i="1"/>
  <c r="C9" i="1"/>
  <c r="B16" i="1" l="1"/>
  <c r="C10" i="1"/>
  <c r="F28" i="1"/>
  <c r="E29" i="1"/>
  <c r="E28" i="1"/>
  <c r="E27" i="1"/>
  <c r="E26" i="1"/>
  <c r="D29" i="1"/>
  <c r="D28" i="1"/>
  <c r="D27" i="1"/>
  <c r="D26" i="1"/>
  <c r="F27" i="1" l="1"/>
  <c r="F26" i="1"/>
  <c r="F29" i="1"/>
  <c r="C16" i="1"/>
  <c r="D16" i="1" s="1"/>
</calcChain>
</file>

<file path=xl/sharedStrings.xml><?xml version="1.0" encoding="utf-8"?>
<sst xmlns="http://schemas.openxmlformats.org/spreadsheetml/2006/main" count="67" uniqueCount="58">
  <si>
    <t>구동계 속도 변환 및 베어링/스프라켓 진동 주파수 계산기</t>
  </si>
  <si>
    <t>1. 설정 Hz 및 축별 속도 계산 (Hz ↔ RPM)</t>
  </si>
  <si>
    <t>설정 Hz (Input)</t>
  </si>
  <si>
    <t>구분 (축 명칭)</t>
  </si>
  <si>
    <t>변산 RPM</t>
  </si>
  <si>
    <t>변산 주파수 (Hz)</t>
  </si>
  <si>
    <t>속도 비 (Ratio)</t>
  </si>
  <si>
    <t>비고</t>
  </si>
  <si>
    <t>모터 출력측</t>
  </si>
  <si>
    <t>주속도 / 모터 직결축</t>
  </si>
  <si>
    <t>모터 벨트연결측</t>
  </si>
  <si>
    <t>벨트 감속축</t>
  </si>
  <si>
    <t>부하측</t>
  </si>
  <si>
    <t>최종 감속 출력축</t>
  </si>
  <si>
    <t>2. 체인 스프라켓 맞물림 주파수 (Sprocket Mesh Frequency / GMF)</t>
  </si>
  <si>
    <t>스프라켓 잇수 (Z)</t>
  </si>
  <si>
    <t>스프라켓 설치 위치</t>
  </si>
  <si>
    <t>해당 축 RPM</t>
  </si>
  <si>
    <t>해당 축 Hz</t>
  </si>
  <si>
    <t>GMF (Hz)</t>
  </si>
  <si>
    <t>산출 공식</t>
  </si>
  <si>
    <t>Hz × 잇수(Z)</t>
  </si>
  <si>
    <t>3. 베어링 스펙 입력 및 결함 주파수 4종 계산 (Bearing Defect Frequencies)</t>
  </si>
  <si>
    <t>베어링 모델/명칭</t>
  </si>
  <si>
    <t>볼/롤러 직경 (d)</t>
  </si>
  <si>
    <t>롤러/볼 개수 (n)</t>
  </si>
  <si>
    <t>피치 직경 (D)</t>
  </si>
  <si>
    <t>접촉각 (α)</t>
  </si>
  <si>
    <t>결함 주파수 항목</t>
  </si>
  <si>
    <t>약어</t>
  </si>
  <si>
    <t>이론 계산식</t>
  </si>
  <si>
    <t>모터측 결함(Hz)</t>
  </si>
  <si>
    <t>벨트축 결함(Hz)</t>
  </si>
  <si>
    <t>부하측 결함(Hz)</t>
  </si>
  <si>
    <t>외륜 결함 주파수</t>
  </si>
  <si>
    <t>BPFO</t>
  </si>
  <si>
    <t>(n/2) × fr × (1 - (d/D)cosα)</t>
  </si>
  <si>
    <t>내륜 결함 주파수</t>
  </si>
  <si>
    <t>BPFI</t>
  </si>
  <si>
    <t>(n/2) × fr × (1 + (d/D)cosα)</t>
  </si>
  <si>
    <t>롤러/볼 결함 주파수</t>
  </si>
  <si>
    <t>BSF</t>
  </si>
  <si>
    <t>(D/2d) × fr × (1 - ((d/D)cosα)²)</t>
  </si>
  <si>
    <t>케이지 결함 주파수</t>
  </si>
  <si>
    <t>FTF</t>
  </si>
  <si>
    <t>(1/2) × fr × (1 - (d/D)cosα)</t>
  </si>
  <si>
    <t>설정 Hz 변화에 따른 축별 RPM 및 GMF 변화표</t>
  </si>
  <si>
    <t>설정 Hz</t>
  </si>
  <si>
    <t>모터 출력측 RPM</t>
  </si>
  <si>
    <t>모터 벨트축 RPM</t>
  </si>
  <si>
    <t>부하측 RPM</t>
  </si>
  <si>
    <t>부하축 GMF(Hz)</t>
  </si>
  <si>
    <t>저속</t>
  </si>
  <si>
    <t>정상운전</t>
  </si>
  <si>
    <t>고속</t>
  </si>
  <si>
    <t>부하측</t>
    <phoneticPr fontId="8" type="noConversion"/>
  </si>
  <si>
    <t>설정 RPM (Input)</t>
    <phoneticPr fontId="8" type="noConversion"/>
  </si>
  <si>
    <t>NTN N306E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</si>
</sst>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\ &quot;Hz&quot;"/>
    <numFmt numFmtId="177" formatCode="0\ &quot;Hz&quot;"/>
    <numFmt numFmtId="178" formatCode="#,##0\ &quot;RPM&quot;"/>
    <numFmt numFmtId="179" formatCode="#,##0.0\ &quot;RPM&quot;"/>
    <numFmt numFmtId="180" formatCode="#,##0.00\ &quot;Hz&quot;"/>
    <numFmt numFmtId="181" formatCode="0.0000"/>
    <numFmt numFmtId="182" formatCode="0\ &quot;개&quot;"/>
    <numFmt numFmtId="183" formatCode="#,##0\ &quot;CPM&quot;"/>
    <numFmt numFmtId="184" formatCode="0\ &quot;EA&quot;"/>
    <numFmt numFmtId="185" formatCode="0.00\ &quot;mm&quot;"/>
    <numFmt numFmtId="186" formatCode="0.0\ &quot;deg&quot;"/>
  </numFmts>
  <fonts count="9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0F172A"/>
      <name val="맑은 고딕"/>
      <family val="3"/>
      <charset val="129"/>
    </font>
    <font>
      <b/>
      <sz val="11"/>
      <color rgb="FFB45309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EF3C7"/>
        <bgColor rgb="FFFEF3C7"/>
      </patternFill>
    </fill>
    <fill>
      <patternFill patternType="solid">
        <fgColor rgb="FF475569"/>
        <bgColor rgb="FF47556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left" vertical="center"/>
    </xf>
    <xf numFmtId="176" fontId="4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9" fontId="7" fillId="0" borderId="1" xfId="0" applyNumberFormat="1" applyFont="1" applyBorder="1"/>
    <xf numFmtId="180" fontId="7" fillId="0" borderId="1" xfId="0" applyNumberFormat="1" applyFont="1" applyBorder="1"/>
    <xf numFmtId="181" fontId="7" fillId="0" borderId="1" xfId="0" applyNumberFormat="1" applyFont="1" applyBorder="1"/>
    <xf numFmtId="0" fontId="3" fillId="0" borderId="0" xfId="0" applyFont="1"/>
    <xf numFmtId="182" fontId="4" fillId="4" borderId="0" xfId="0" applyNumberFormat="1" applyFont="1" applyFill="1" applyAlignment="1">
      <alignment horizontal="center" vertical="center"/>
    </xf>
    <xf numFmtId="183" fontId="7" fillId="0" borderId="1" xfId="0" applyNumberFormat="1" applyFont="1" applyBorder="1"/>
    <xf numFmtId="0" fontId="5" fillId="4" borderId="0" xfId="0" applyFont="1" applyFill="1" applyAlignment="1">
      <alignment horizontal="center" vertical="center"/>
    </xf>
    <xf numFmtId="185" fontId="5" fillId="4" borderId="0" xfId="0" applyNumberFormat="1" applyFont="1" applyFill="1" applyAlignment="1">
      <alignment horizontal="center" vertical="center"/>
    </xf>
    <xf numFmtId="184" fontId="5" fillId="4" borderId="0" xfId="0" applyNumberFormat="1" applyFont="1" applyFill="1" applyAlignment="1">
      <alignment horizontal="center" vertical="center"/>
    </xf>
    <xf numFmtId="186" fontId="5" fillId="4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설정 Hz에 따른 축별 회전수(RPM) 변화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Hz별_속도_테이블!$B$4</c:f>
              <c:strCache>
                <c:ptCount val="1"/>
                <c:pt idx="0">
                  <c:v>모터 출력측 RPM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Hz별_속도_테이블!$A$5:$A$15</c:f>
              <c:numCache>
                <c:formatCode>0\ "Hz"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</c:numCache>
            </c:numRef>
          </c:cat>
          <c:val>
            <c:numRef>
              <c:f>Hz별_속도_테이블!$B$5:$B$15</c:f>
              <c:numCache>
                <c:formatCode>#,##0\ "RPM"</c:formatCode>
                <c:ptCount val="11"/>
                <c:pt idx="0">
                  <c:v>300</c:v>
                </c:pt>
                <c:pt idx="1">
                  <c:v>450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1200</c:v>
                </c:pt>
                <c:pt idx="7">
                  <c:v>1350</c:v>
                </c:pt>
                <c:pt idx="8">
                  <c:v>1500</c:v>
                </c:pt>
                <c:pt idx="9">
                  <c:v>1650</c:v>
                </c:pt>
                <c:pt idx="10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E-47A6-BDEF-E00D7BCDE8B3}"/>
            </c:ext>
          </c:extLst>
        </c:ser>
        <c:ser>
          <c:idx val="1"/>
          <c:order val="1"/>
          <c:tx>
            <c:strRef>
              <c:f>Hz별_속도_테이블!$C$4</c:f>
              <c:strCache>
                <c:ptCount val="1"/>
                <c:pt idx="0">
                  <c:v>모터 벨트축 RPM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Hz별_속도_테이블!$A$5:$A$15</c:f>
              <c:numCache>
                <c:formatCode>0\ "Hz"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</c:numCache>
            </c:numRef>
          </c:cat>
          <c:val>
            <c:numRef>
              <c:f>Hz별_속도_테이블!$C$5:$C$15</c:f>
              <c:numCache>
                <c:formatCode>#,##0\ "RPM"</c:formatCode>
                <c:ptCount val="11"/>
                <c:pt idx="0">
                  <c:v>175</c:v>
                </c:pt>
                <c:pt idx="1">
                  <c:v>262.5</c:v>
                </c:pt>
                <c:pt idx="2">
                  <c:v>350</c:v>
                </c:pt>
                <c:pt idx="3">
                  <c:v>437.5</c:v>
                </c:pt>
                <c:pt idx="4">
                  <c:v>525</c:v>
                </c:pt>
                <c:pt idx="5">
                  <c:v>612.5</c:v>
                </c:pt>
                <c:pt idx="6">
                  <c:v>700</c:v>
                </c:pt>
                <c:pt idx="7">
                  <c:v>787.5</c:v>
                </c:pt>
                <c:pt idx="8">
                  <c:v>875</c:v>
                </c:pt>
                <c:pt idx="9">
                  <c:v>962.5</c:v>
                </c:pt>
                <c:pt idx="10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9E-47A6-BDEF-E00D7BCDE8B3}"/>
            </c:ext>
          </c:extLst>
        </c:ser>
        <c:ser>
          <c:idx val="2"/>
          <c:order val="2"/>
          <c:tx>
            <c:strRef>
              <c:f>Hz별_속도_테이블!$D$4</c:f>
              <c:strCache>
                <c:ptCount val="1"/>
                <c:pt idx="0">
                  <c:v>부하측 RPM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Hz별_속도_테이블!$A$5:$A$15</c:f>
              <c:numCache>
                <c:formatCode>0\ "Hz"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</c:numCache>
            </c:numRef>
          </c:cat>
          <c:val>
            <c:numRef>
              <c:f>Hz별_속도_테이블!$D$5:$D$15</c:f>
              <c:numCache>
                <c:formatCode>#,##0\ "RPM"</c:formatCode>
                <c:ptCount val="11"/>
                <c:pt idx="0">
                  <c:v>17.5</c:v>
                </c:pt>
                <c:pt idx="1">
                  <c:v>26.25</c:v>
                </c:pt>
                <c:pt idx="2">
                  <c:v>35</c:v>
                </c:pt>
                <c:pt idx="3">
                  <c:v>43.75</c:v>
                </c:pt>
                <c:pt idx="4">
                  <c:v>52.5</c:v>
                </c:pt>
                <c:pt idx="5">
                  <c:v>61.25</c:v>
                </c:pt>
                <c:pt idx="6">
                  <c:v>70</c:v>
                </c:pt>
                <c:pt idx="7">
                  <c:v>78.75</c:v>
                </c:pt>
                <c:pt idx="8">
                  <c:v>87.5</c:v>
                </c:pt>
                <c:pt idx="9">
                  <c:v>96.25</c:v>
                </c:pt>
                <c:pt idx="10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9E-47A6-BDEF-E00D7BCDE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설정 주파수 (Hz)</a:t>
                </a:r>
              </a:p>
            </c:rich>
          </c:tx>
          <c:overlay val="0"/>
        </c:title>
        <c:numFmt formatCode="0\ &quot;Hz&quot;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회전수 (RPM)</a:t>
                </a:r>
              </a:p>
            </c:rich>
          </c:tx>
          <c:overlay val="0"/>
        </c:title>
        <c:numFmt formatCode="#,##0\ &quot;RPM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06" workbookViewId="0">
      <selection activeCell="C5" sqref="C5"/>
    </sheetView>
  </sheetViews>
  <sheetFormatPr baseColWidth="10" defaultColWidth="8.83203125" defaultRowHeight="17"/>
  <cols>
    <col min="1" max="1" width="25" customWidth="1"/>
    <col min="2" max="2" width="18" customWidth="1"/>
    <col min="3" max="3" width="32" customWidth="1"/>
    <col min="4" max="6" width="22" customWidth="1"/>
    <col min="7" max="7" width="15" customWidth="1"/>
  </cols>
  <sheetData>
    <row r="1" spans="1:7">
      <c r="A1" s="23" t="s">
        <v>0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4" spans="1:7" ht="18">
      <c r="A4" s="21" t="s">
        <v>1</v>
      </c>
      <c r="B4" s="22"/>
      <c r="C4" s="22"/>
      <c r="D4" s="22"/>
      <c r="E4" s="22"/>
      <c r="F4" s="22"/>
      <c r="G4" s="22"/>
    </row>
    <row r="5" spans="1:7">
      <c r="A5" s="1" t="s">
        <v>2</v>
      </c>
      <c r="B5" s="2">
        <v>60</v>
      </c>
      <c r="D5" s="3" t="s">
        <v>56</v>
      </c>
      <c r="E5" s="4">
        <f>B$5*120/4</f>
        <v>1800</v>
      </c>
    </row>
    <row r="7" spans="1:7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</row>
    <row r="8" spans="1:7">
      <c r="A8" s="6" t="s">
        <v>8</v>
      </c>
      <c r="B8" s="7">
        <f>E$5</f>
        <v>1800</v>
      </c>
      <c r="C8" s="8">
        <f>B8/60</f>
        <v>30</v>
      </c>
      <c r="D8" s="9"/>
      <c r="E8" s="6" t="s">
        <v>9</v>
      </c>
    </row>
    <row r="9" spans="1:7">
      <c r="A9" s="6" t="s">
        <v>10</v>
      </c>
      <c r="B9" s="7">
        <f>B$8*D$9</f>
        <v>1049.94</v>
      </c>
      <c r="C9" s="8">
        <f>B9/60</f>
        <v>17.499000000000002</v>
      </c>
      <c r="D9">
        <v>0.58330000000000004</v>
      </c>
      <c r="E9" s="6" t="s">
        <v>11</v>
      </c>
    </row>
    <row r="10" spans="1:7">
      <c r="A10" s="6" t="s">
        <v>12</v>
      </c>
      <c r="B10" s="7">
        <f>B$9*D$10</f>
        <v>104.99400000000001</v>
      </c>
      <c r="C10" s="8">
        <f>B10/60</f>
        <v>1.7499000000000002</v>
      </c>
      <c r="D10">
        <v>0.1</v>
      </c>
      <c r="E10" s="6" t="s">
        <v>13</v>
      </c>
    </row>
    <row r="12" spans="1:7" ht="18">
      <c r="A12" s="21" t="s">
        <v>14</v>
      </c>
      <c r="B12" s="22"/>
      <c r="C12" s="22"/>
      <c r="D12" s="22"/>
      <c r="E12" s="22"/>
      <c r="F12" s="22"/>
      <c r="G12" s="22"/>
    </row>
    <row r="13" spans="1:7">
      <c r="A13" s="10" t="s">
        <v>15</v>
      </c>
      <c r="B13" s="11">
        <v>18</v>
      </c>
    </row>
    <row r="15" spans="1:7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</row>
    <row r="16" spans="1:7">
      <c r="A16" s="6" t="s">
        <v>55</v>
      </c>
      <c r="B16" s="7">
        <f>B10</f>
        <v>104.99400000000001</v>
      </c>
      <c r="C16" s="8">
        <f>C10</f>
        <v>1.7499000000000002</v>
      </c>
      <c r="D16" s="8">
        <f>C16*$B$13</f>
        <v>31.498200000000004</v>
      </c>
      <c r="E16" s="6" t="s">
        <v>21</v>
      </c>
    </row>
    <row r="17" spans="1:7">
      <c r="A17" s="6"/>
      <c r="B17" s="7"/>
      <c r="C17" s="8"/>
      <c r="D17" s="8"/>
      <c r="E17" s="12"/>
      <c r="F17" s="6"/>
    </row>
    <row r="20" spans="1:7" ht="18">
      <c r="A20" s="21" t="s">
        <v>22</v>
      </c>
      <c r="B20" s="22"/>
      <c r="C20" s="22"/>
      <c r="D20" s="22"/>
      <c r="E20" s="22"/>
      <c r="F20" s="22"/>
      <c r="G20" s="22"/>
    </row>
    <row r="21" spans="1:7">
      <c r="A21" s="10" t="s">
        <v>23</v>
      </c>
      <c r="B21" s="13" t="s">
        <v>57</v>
      </c>
      <c r="D21" s="10" t="s">
        <v>24</v>
      </c>
      <c r="E21" s="14">
        <v>11</v>
      </c>
    </row>
    <row r="22" spans="1:7">
      <c r="A22" s="10" t="s">
        <v>25</v>
      </c>
      <c r="B22" s="15">
        <v>12</v>
      </c>
      <c r="D22" s="10" t="s">
        <v>26</v>
      </c>
      <c r="E22" s="14">
        <v>51.5</v>
      </c>
    </row>
    <row r="23" spans="1:7">
      <c r="A23" s="10" t="s">
        <v>27</v>
      </c>
      <c r="B23" s="16">
        <v>0</v>
      </c>
      <c r="D23" s="10"/>
    </row>
    <row r="25" spans="1:7">
      <c r="A25" s="5" t="s">
        <v>28</v>
      </c>
      <c r="B25" s="5" t="s">
        <v>29</v>
      </c>
      <c r="C25" s="5" t="s">
        <v>30</v>
      </c>
      <c r="D25" s="5" t="s">
        <v>31</v>
      </c>
      <c r="E25" s="5" t="s">
        <v>32</v>
      </c>
      <c r="F25" s="5" t="s">
        <v>33</v>
      </c>
    </row>
    <row r="26" spans="1:7">
      <c r="A26" s="6" t="s">
        <v>34</v>
      </c>
      <c r="B26" s="17" t="s">
        <v>35</v>
      </c>
      <c r="C26" s="6" t="s">
        <v>36</v>
      </c>
      <c r="D26" s="8">
        <f>( $B$22 / 2 ) * C8 * ( 1 - ( $E$21 / $E$22 ) * COS(RADIANS($B$23)) )</f>
        <v>141.55339805825241</v>
      </c>
      <c r="E26" s="8">
        <f>( $B$22 / 2 ) * C9 * ( 1 - ( $E$21 / $E$22 ) * COS(RADIANS($B$23)) )</f>
        <v>82.568097087378646</v>
      </c>
      <c r="F26" s="8">
        <f>( $B$22 / 2 ) * C10 * ( 1 - ( $E$21 / $E$22 ) * COS(RADIANS($B$23)) )</f>
        <v>8.2568097087378653</v>
      </c>
    </row>
    <row r="27" spans="1:7">
      <c r="A27" s="6" t="s">
        <v>37</v>
      </c>
      <c r="B27" s="17" t="s">
        <v>38</v>
      </c>
      <c r="C27" s="6" t="s">
        <v>39</v>
      </c>
      <c r="D27" s="8">
        <f>( $B$22 / 2 ) * C8 * ( 1 + ( $E$21 / $E$22 ) * COS(RADIANS($B$23)) )</f>
        <v>218.44660194174756</v>
      </c>
      <c r="E27" s="8">
        <f>( $B$22 / 2 ) * C9 * ( 1 + ( $E$21 / $E$22 ) * COS(RADIANS($B$23)) )</f>
        <v>127.41990291262137</v>
      </c>
      <c r="F27" s="8">
        <f>( $B$22 / 2 ) * C10 * ( 1 + ( $E$21 / $E$22 ) * COS(RADIANS($B$23)) )</f>
        <v>12.741990291262137</v>
      </c>
    </row>
    <row r="28" spans="1:7">
      <c r="A28" s="6" t="s">
        <v>40</v>
      </c>
      <c r="B28" s="17" t="s">
        <v>41</v>
      </c>
      <c r="C28" s="6" t="s">
        <v>42</v>
      </c>
      <c r="D28" s="8">
        <f>( $E$22 / (2 * $E$21) ) * C8 * ( 1 - ( ($E$21 / $E$22) * COS(RADIANS($B$23)) )^2 )</f>
        <v>67.023389232127087</v>
      </c>
      <c r="E28" s="8">
        <f>( $E$22 / (2 * $E$21) ) * C9 * ( 1 - ( ($E$21 / $E$22) * COS(RADIANS($B$23)) )^2 )</f>
        <v>39.094742939099739</v>
      </c>
      <c r="F28" s="8">
        <f>( $E$22 / (2 * $E$21) ) * C10 * ( 1 - ( ($E$21 / $E$22) * COS(RADIANS($B$23)) )^2 )</f>
        <v>3.9094742939099736</v>
      </c>
    </row>
    <row r="29" spans="1:7">
      <c r="A29" s="6" t="s">
        <v>43</v>
      </c>
      <c r="B29" s="17" t="s">
        <v>44</v>
      </c>
      <c r="C29" s="6" t="s">
        <v>45</v>
      </c>
      <c r="D29" s="8">
        <f>( 1 / 2 ) * C8 * ( 1 - ( $E$21 / $E$22 ) * COS(RADIANS($B$23)) )</f>
        <v>11.796116504854369</v>
      </c>
      <c r="E29" s="8">
        <f>( 1 / 2 ) * C9 * ( 1 - ( $E$21 / $E$22 ) * COS(RADIANS($B$23)) )</f>
        <v>6.8806747572815539</v>
      </c>
      <c r="F29" s="8">
        <f>( 1 / 2 ) * C10 * ( 1 - ( $E$21 / $E$22 ) * COS(RADIANS($B$23)) )</f>
        <v>0.68806747572815541</v>
      </c>
    </row>
  </sheetData>
  <mergeCells count="4">
    <mergeCell ref="A20:G20"/>
    <mergeCell ref="A4:G4"/>
    <mergeCell ref="A12:G12"/>
    <mergeCell ref="A1:G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baseColWidth="10" defaultColWidth="8.83203125" defaultRowHeight="17"/>
  <cols>
    <col min="1" max="6" width="20" customWidth="1"/>
  </cols>
  <sheetData>
    <row r="1" spans="1:6">
      <c r="A1" s="23" t="s">
        <v>46</v>
      </c>
      <c r="B1" s="22"/>
      <c r="C1" s="22"/>
      <c r="D1" s="22"/>
      <c r="E1" s="22"/>
      <c r="F1" s="22"/>
    </row>
    <row r="2" spans="1:6">
      <c r="A2" s="22"/>
      <c r="B2" s="22"/>
      <c r="C2" s="22"/>
      <c r="D2" s="22"/>
      <c r="E2" s="22"/>
      <c r="F2" s="22"/>
    </row>
    <row r="4" spans="1:6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7</v>
      </c>
    </row>
    <row r="5" spans="1:6">
      <c r="A5" s="18">
        <v>10</v>
      </c>
      <c r="B5" s="19">
        <f t="shared" ref="B5:B15" si="0">1200*(A5/40)</f>
        <v>300</v>
      </c>
      <c r="C5" s="19">
        <f t="shared" ref="C5:C15" si="1">700*(A5/40)</f>
        <v>175</v>
      </c>
      <c r="D5" s="19">
        <f t="shared" ref="D5:D15" si="2">70*(A5/40)</f>
        <v>17.5</v>
      </c>
      <c r="E5" s="20">
        <f>(D5/60)*구동계_진동_계산기!$B$13</f>
        <v>5.25</v>
      </c>
      <c r="F5" s="17" t="s">
        <v>52</v>
      </c>
    </row>
    <row r="6" spans="1:6">
      <c r="A6" s="18">
        <v>15</v>
      </c>
      <c r="B6" s="19">
        <f t="shared" si="0"/>
        <v>450</v>
      </c>
      <c r="C6" s="19">
        <f t="shared" si="1"/>
        <v>262.5</v>
      </c>
      <c r="D6" s="19">
        <f t="shared" si="2"/>
        <v>26.25</v>
      </c>
      <c r="E6" s="20">
        <f>(D6/60)*구동계_진동_계산기!$B$13</f>
        <v>7.875</v>
      </c>
      <c r="F6" s="17" t="s">
        <v>52</v>
      </c>
    </row>
    <row r="7" spans="1:6">
      <c r="A7" s="18">
        <v>20</v>
      </c>
      <c r="B7" s="19">
        <f t="shared" si="0"/>
        <v>600</v>
      </c>
      <c r="C7" s="19">
        <f t="shared" si="1"/>
        <v>350</v>
      </c>
      <c r="D7" s="19">
        <f t="shared" si="2"/>
        <v>35</v>
      </c>
      <c r="E7" s="20">
        <f>(D7/60)*구동계_진동_계산기!$B$13</f>
        <v>10.5</v>
      </c>
      <c r="F7" s="17" t="s">
        <v>52</v>
      </c>
    </row>
    <row r="8" spans="1:6">
      <c r="A8" s="18">
        <v>25</v>
      </c>
      <c r="B8" s="19">
        <f t="shared" si="0"/>
        <v>750</v>
      </c>
      <c r="C8" s="19">
        <f t="shared" si="1"/>
        <v>437.5</v>
      </c>
      <c r="D8" s="19">
        <f t="shared" si="2"/>
        <v>43.75</v>
      </c>
      <c r="E8" s="20">
        <f>(D8/60)*구동계_진동_계산기!$B$13</f>
        <v>13.125</v>
      </c>
      <c r="F8" s="17" t="s">
        <v>52</v>
      </c>
    </row>
    <row r="9" spans="1:6">
      <c r="A9" s="18">
        <v>30</v>
      </c>
      <c r="B9" s="19">
        <f t="shared" si="0"/>
        <v>900</v>
      </c>
      <c r="C9" s="19">
        <f t="shared" si="1"/>
        <v>525</v>
      </c>
      <c r="D9" s="19">
        <f t="shared" si="2"/>
        <v>52.5</v>
      </c>
      <c r="E9" s="20">
        <f>(D9/60)*구동계_진동_계산기!$B$13</f>
        <v>15.75</v>
      </c>
      <c r="F9" s="17" t="s">
        <v>52</v>
      </c>
    </row>
    <row r="10" spans="1:6">
      <c r="A10" s="18">
        <v>35</v>
      </c>
      <c r="B10" s="19">
        <f t="shared" si="0"/>
        <v>1050</v>
      </c>
      <c r="C10" s="19">
        <f t="shared" si="1"/>
        <v>612.5</v>
      </c>
      <c r="D10" s="19">
        <f t="shared" si="2"/>
        <v>61.25</v>
      </c>
      <c r="E10" s="20">
        <f>(D10/60)*구동계_진동_계산기!$B$13</f>
        <v>18.375</v>
      </c>
      <c r="F10" s="17" t="s">
        <v>52</v>
      </c>
    </row>
    <row r="11" spans="1:6">
      <c r="A11" s="18">
        <v>40</v>
      </c>
      <c r="B11" s="19">
        <f t="shared" si="0"/>
        <v>1200</v>
      </c>
      <c r="C11" s="19">
        <f t="shared" si="1"/>
        <v>700</v>
      </c>
      <c r="D11" s="19">
        <f t="shared" si="2"/>
        <v>70</v>
      </c>
      <c r="E11" s="20">
        <f>(D11/60)*구동계_진동_계산기!$B$13</f>
        <v>21</v>
      </c>
      <c r="F11" s="17" t="s">
        <v>53</v>
      </c>
    </row>
    <row r="12" spans="1:6">
      <c r="A12" s="18">
        <v>45</v>
      </c>
      <c r="B12" s="19">
        <f t="shared" si="0"/>
        <v>1350</v>
      </c>
      <c r="C12" s="19">
        <f t="shared" si="1"/>
        <v>787.5</v>
      </c>
      <c r="D12" s="19">
        <f t="shared" si="2"/>
        <v>78.75</v>
      </c>
      <c r="E12" s="20">
        <f>(D12/60)*구동계_진동_계산기!$B$13</f>
        <v>23.625</v>
      </c>
      <c r="F12" s="17" t="s">
        <v>54</v>
      </c>
    </row>
    <row r="13" spans="1:6">
      <c r="A13" s="18">
        <v>50</v>
      </c>
      <c r="B13" s="19">
        <f t="shared" si="0"/>
        <v>1500</v>
      </c>
      <c r="C13" s="19">
        <f t="shared" si="1"/>
        <v>875</v>
      </c>
      <c r="D13" s="19">
        <f t="shared" si="2"/>
        <v>87.5</v>
      </c>
      <c r="E13" s="20">
        <f>(D13/60)*구동계_진동_계산기!$B$13</f>
        <v>26.25</v>
      </c>
      <c r="F13" s="17" t="s">
        <v>54</v>
      </c>
    </row>
    <row r="14" spans="1:6">
      <c r="A14" s="18">
        <v>55</v>
      </c>
      <c r="B14" s="19">
        <f t="shared" si="0"/>
        <v>1650</v>
      </c>
      <c r="C14" s="19">
        <f t="shared" si="1"/>
        <v>962.5</v>
      </c>
      <c r="D14" s="19">
        <f t="shared" si="2"/>
        <v>96.25</v>
      </c>
      <c r="E14" s="20">
        <f>(D14/60)*구동계_진동_계산기!$B$13</f>
        <v>28.875</v>
      </c>
      <c r="F14" s="17" t="s">
        <v>54</v>
      </c>
    </row>
    <row r="15" spans="1:6">
      <c r="A15" s="18">
        <v>60</v>
      </c>
      <c r="B15" s="19">
        <f t="shared" si="0"/>
        <v>1800</v>
      </c>
      <c r="C15" s="19">
        <f t="shared" si="1"/>
        <v>1050</v>
      </c>
      <c r="D15" s="19">
        <f t="shared" si="2"/>
        <v>105</v>
      </c>
      <c r="E15" s="20">
        <f>(D15/60)*구동계_진동_계산기!$B$13</f>
        <v>31.5</v>
      </c>
      <c r="F15" s="17" t="s">
        <v>54</v>
      </c>
    </row>
  </sheetData>
  <mergeCells count="1">
    <mergeCell ref="A1:F2"/>
  </mergeCells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구동계_진동_계산기</vt:lpstr>
      <vt:lpstr>Hz별_속도_테이블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최승우</cp:lastModifiedBy>
  <dcterms:created xsi:type="dcterms:W3CDTF">2026-08-04T03:18:59Z</dcterms:created>
  <dcterms:modified xsi:type="dcterms:W3CDTF">2026-08-11T02:07:26Z</dcterms:modified>
</cp:coreProperties>
</file>